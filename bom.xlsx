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7"/>
  <workbookPr/>
  <mc:AlternateContent xmlns:mc="http://schemas.openxmlformats.org/markup-compatibility/2006">
    <mc:Choice Requires="x15">
      <x15ac:absPath xmlns:x15ac="http://schemas.microsoft.com/office/spreadsheetml/2010/11/ac" url="C:\Users\andre.maia\Documents\GitHub\Optogenetics-Chamber\"/>
    </mc:Choice>
  </mc:AlternateContent>
  <xr:revisionPtr revIDLastSave="0" documentId="13_ncr:1_{08733A1E-95D4-4C80-8A2D-4371897B0E3F}" xr6:coauthVersionLast="36" xr6:coauthVersionMax="36" xr10:uidLastSave="{00000000-0000-0000-0000-000000000000}"/>
  <bookViews>
    <workbookView xWindow="0" yWindow="0" windowWidth="22260" windowHeight="12645" xr2:uid="{00000000-000D-0000-FFFF-FFFF00000000}"/>
  </bookViews>
  <sheets>
    <sheet name="Plan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4" i="1" l="1"/>
  <c r="E5" i="1"/>
  <c r="E3" i="1"/>
  <c r="E6" i="1"/>
  <c r="E7" i="1"/>
  <c r="E8" i="1"/>
  <c r="E9" i="1"/>
  <c r="E10" i="1"/>
  <c r="E11" i="1"/>
  <c r="E12" i="1"/>
  <c r="E2" i="1"/>
  <c r="F2" i="1"/>
</calcChain>
</file>

<file path=xl/sharedStrings.xml><?xml version="1.0" encoding="utf-8"?>
<sst xmlns="http://schemas.openxmlformats.org/spreadsheetml/2006/main" count="39" uniqueCount="39">
  <si>
    <t>qty</t>
  </si>
  <si>
    <t>item</t>
  </si>
  <si>
    <t>detail</t>
  </si>
  <si>
    <t>total cost</t>
  </si>
  <si>
    <t>arduino mega headers</t>
  </si>
  <si>
    <t>to stack shield on top of arduino</t>
  </si>
  <si>
    <t>arduino mega</t>
  </si>
  <si>
    <t>RGB LED</t>
  </si>
  <si>
    <t>5mm common cathode</t>
  </si>
  <si>
    <t>220 ohm resistor</t>
  </si>
  <si>
    <t>flat cable</t>
  </si>
  <si>
    <t>26awg 5mt</t>
  </si>
  <si>
    <t>cost</t>
  </si>
  <si>
    <t>unit cost (R$)</t>
  </si>
  <si>
    <t>THT 1/4w kit 100 units</t>
  </si>
  <si>
    <t>red led</t>
  </si>
  <si>
    <t>5 mm for indication</t>
  </si>
  <si>
    <t>mechanical switch</t>
  </si>
  <si>
    <t>2 positions</t>
  </si>
  <si>
    <t>power supply</t>
  </si>
  <si>
    <t>12v 3a barrel connector</t>
  </si>
  <si>
    <t>PLA filament</t>
  </si>
  <si>
    <t>1kg</t>
  </si>
  <si>
    <t>take advantage of all digital outputs</t>
  </si>
  <si>
    <t>idc board connector</t>
  </si>
  <si>
    <t>idc cable connector</t>
  </si>
  <si>
    <t xml:space="preserve">THT </t>
  </si>
  <si>
    <t>Users will need and IDC crimper to make cables</t>
  </si>
  <si>
    <t>link</t>
  </si>
  <si>
    <t>https://www.mercadolivre.com.br/shield-stacking-header-set-compatible-with-arduino-mega-2560/p/MLB2038789899?pdp_filters=item_id%3AMLB6641186364&amp;sid=bookmarks#polycard_client=wishlist&amp;wid=MLB6641186364&amp;sid=bookmarks</t>
  </si>
  <si>
    <t>https://www.mercadolivre.com.br/filamento-pla-velvet-preto-1kg/p/MLB24741975?pdp_filters=item_id%3AMLB4411270263&amp;sid=bookmarks#polycard_client=wishlist&amp;wid=MLB4411270263&amp;sid=bookmarks</t>
  </si>
  <si>
    <t>https://www.mercadolivre.com.br/fonte-alimentaco-12v-3a-pfita-led-cob-240l-cmera-bivolt/p/MLB2093977214?pdp_filters=item_id%3AMLB3966026211&amp;sid=bookmarks#polycard_client=wishlist&amp;wid=MLB3966026211&amp;sid=bookmarks</t>
  </si>
  <si>
    <t>https://www.mercadolivre.com.br/20-pecas-micro-chave-interruptor-switch-pcb-2-posicao/up/MLBU596433095?pdp_filters=item_id%3AMLB1368421009&amp;sid=bookmarks#polycard_client=wishlist&amp;wid=MLB1368421009&amp;sid=bookmarks</t>
  </si>
  <si>
    <t>https://www.mercadolivre.com.br/kit-led-5mm-difuso-10-vermelho/p/MLB39027228?pdp_filters=item_id%3AMLB4313543229&amp;sid=bookmarks#polycard_client=wishlist&amp;wid=MLB4313543229&amp;sid=bookmarks</t>
  </si>
  <si>
    <t>https://www.mercadolivre.com.br/cabo-flat-cable-6-vias-26awg-colorido-lance-5mts/p/MLB2076010736?pdp_filters=item_id%3AMLB2018146342&amp;sid=bookmarks#polycard_client=wishlist&amp;wid=MLB2018146342&amp;sid=bookmarks</t>
  </si>
  <si>
    <t>https://www.mercadolivre.com.br/kit-100un-resistor-220r-220-ohm-14w-5-carbono-cr25/up/MLBU3943781257?pdp_filters=item_id%3AMLB6735459884&amp;sid=bookmarks#polycard_client=wishlist&amp;wid=MLB6735459884&amp;sid=bookmarks</t>
  </si>
  <si>
    <t>https://www.mercadolivre.com.br/10-pecas-led-5mm-alto-brilho-rgb-catodo-comum/up/MLBU1437892895?pdp_filters=item_id%3AMLB3294848783&amp;sid=bookmarks#polycard_client=wishlist&amp;wid=MLB3294848783&amp;sid=bookmarks</t>
  </si>
  <si>
    <t>https://www.mercadolivre.com.br/placa-compativel-arduino-mega-2560-ch340-atmega2560--cabo/up/MLBU759484633?pdp_filters=item_id%3AMLB3367856807&amp;sid=bookmarks#polycard_client=wishlist&amp;wid=MLB3367856807&amp;sid=bookmarks</t>
  </si>
  <si>
    <t>https://www.mercadolivre.com.br/10x--conector-barra-de-pinos-ds101310ssib1b-254mm-2x5/up/MLBU1749252615?pdp_filters=item_id%3AMLB3474477491&amp;sid=bookmarks#polycard_client=wishlist&amp;wid=MLB3474477491&amp;sid=bookmarks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</si>
</sst>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Hi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https://www.mercadolivre.com.br/cabo-flat-cable-6-vias-26awg-colorido-lance-5mts/p/MLB2076010736?pdp_filters=item_id%3AMLB2018146342&amp;sid=bookmarks" TargetMode="External"/><Relationship Id="rId1" Type="http://schemas.openxmlformats.org/officeDocument/2006/relationships/hyperlink" Target="https://www.mercadolivre.com.br/fonte-alimentaco-12v-3a-pfita-led-cob-240l-cmera-bivolt/p/MLB2093977214?pdp_filters=item_id%3AMLB3966026211&amp;sid=bookmarks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2"/>
  <sheetViews>
    <sheetView tabSelected="1" workbookViewId="0">
      <selection activeCell="G14" sqref="G14"/>
    </sheetView>
  </sheetViews>
  <sheetFormatPr defaultRowHeight="15" x14ac:dyDescent="0.25"/>
  <cols>
    <col min="1" max="1" width="21" bestFit="1" customWidth="1"/>
    <col min="2" max="2" width="43.7109375" bestFit="1" customWidth="1"/>
    <col min="3" max="3" width="3.85546875" bestFit="1" customWidth="1"/>
  </cols>
  <sheetData>
    <row r="1" spans="1:7" x14ac:dyDescent="0.25">
      <c r="A1" t="s">
        <v>1</v>
      </c>
      <c r="B1" t="s">
        <v>2</v>
      </c>
      <c r="C1" t="s">
        <v>0</v>
      </c>
      <c r="D1" t="s">
        <v>13</v>
      </c>
      <c r="E1" t="s">
        <v>12</v>
      </c>
      <c r="F1" t="s">
        <v>3</v>
      </c>
      <c r="G1" t="s">
        <v>28</v>
      </c>
    </row>
    <row r="2" spans="1:7" x14ac:dyDescent="0.25">
      <c r="A2" t="s">
        <v>4</v>
      </c>
      <c r="B2" t="s">
        <v>5</v>
      </c>
      <c r="C2">
        <v>1</v>
      </c>
      <c r="D2">
        <v>55</v>
      </c>
      <c r="E2">
        <f>C2*D2</f>
        <v>55</v>
      </c>
      <c r="F2">
        <f>SUM(E:E)</f>
        <v>579</v>
      </c>
      <c r="G2" t="s">
        <v>29</v>
      </c>
    </row>
    <row r="3" spans="1:7" x14ac:dyDescent="0.25">
      <c r="A3" t="s">
        <v>6</v>
      </c>
      <c r="B3" t="s">
        <v>23</v>
      </c>
      <c r="C3">
        <v>1</v>
      </c>
      <c r="D3">
        <v>135</v>
      </c>
      <c r="E3">
        <f t="shared" ref="E3:E13" si="0">C3*D3</f>
        <v>135</v>
      </c>
      <c r="G3" t="s">
        <v>37</v>
      </c>
    </row>
    <row r="4" spans="1:7" x14ac:dyDescent="0.25">
      <c r="A4" t="s">
        <v>7</v>
      </c>
      <c r="B4" t="s">
        <v>8</v>
      </c>
      <c r="C4">
        <v>10</v>
      </c>
      <c r="D4">
        <v>2</v>
      </c>
      <c r="E4">
        <f t="shared" si="0"/>
        <v>20</v>
      </c>
      <c r="G4" t="s">
        <v>36</v>
      </c>
    </row>
    <row r="5" spans="1:7" x14ac:dyDescent="0.25">
      <c r="A5" t="s">
        <v>15</v>
      </c>
      <c r="B5" t="s">
        <v>16</v>
      </c>
      <c r="C5">
        <v>10</v>
      </c>
      <c r="D5">
        <v>2</v>
      </c>
      <c r="E5">
        <f t="shared" si="0"/>
        <v>20</v>
      </c>
      <c r="G5" t="s">
        <v>33</v>
      </c>
    </row>
    <row r="6" spans="1:7" x14ac:dyDescent="0.25">
      <c r="A6" t="s">
        <v>9</v>
      </c>
      <c r="B6" t="s">
        <v>14</v>
      </c>
      <c r="C6">
        <v>1</v>
      </c>
      <c r="D6">
        <v>25</v>
      </c>
      <c r="E6">
        <f>C6*D6</f>
        <v>25</v>
      </c>
      <c r="G6" t="s">
        <v>35</v>
      </c>
    </row>
    <row r="7" spans="1:7" x14ac:dyDescent="0.25">
      <c r="A7" t="s">
        <v>10</v>
      </c>
      <c r="B7" t="s">
        <v>11</v>
      </c>
      <c r="C7">
        <v>1</v>
      </c>
      <c r="D7">
        <v>35</v>
      </c>
      <c r="E7">
        <f>C7*D7</f>
        <v>35</v>
      </c>
      <c r="G7" s="1" t="s">
        <v>34</v>
      </c>
    </row>
    <row r="8" spans="1:7" x14ac:dyDescent="0.25">
      <c r="A8" t="s">
        <v>17</v>
      </c>
      <c r="B8" t="s">
        <v>18</v>
      </c>
      <c r="C8">
        <v>20</v>
      </c>
      <c r="D8">
        <v>1.5</v>
      </c>
      <c r="E8">
        <f t="shared" si="0"/>
        <v>30</v>
      </c>
      <c r="G8" t="s">
        <v>32</v>
      </c>
    </row>
    <row r="9" spans="1:7" x14ac:dyDescent="0.25">
      <c r="A9" t="s">
        <v>19</v>
      </c>
      <c r="B9" t="s">
        <v>20</v>
      </c>
      <c r="C9">
        <v>1</v>
      </c>
      <c r="D9">
        <v>19</v>
      </c>
      <c r="E9">
        <f t="shared" si="0"/>
        <v>19</v>
      </c>
      <c r="G9" s="1" t="s">
        <v>31</v>
      </c>
    </row>
    <row r="10" spans="1:7" x14ac:dyDescent="0.25">
      <c r="A10" t="s">
        <v>21</v>
      </c>
      <c r="B10" t="s">
        <v>22</v>
      </c>
      <c r="C10">
        <v>1</v>
      </c>
      <c r="D10">
        <v>130</v>
      </c>
      <c r="E10">
        <f t="shared" si="0"/>
        <v>130</v>
      </c>
      <c r="G10" t="s">
        <v>30</v>
      </c>
    </row>
    <row r="11" spans="1:7" x14ac:dyDescent="0.25">
      <c r="A11" t="s">
        <v>24</v>
      </c>
      <c r="B11" t="s">
        <v>26</v>
      </c>
      <c r="C11">
        <v>10</v>
      </c>
      <c r="D11">
        <v>5</v>
      </c>
      <c r="E11">
        <f t="shared" si="0"/>
        <v>50</v>
      </c>
      <c r="G11" t="s">
        <v>38</v>
      </c>
    </row>
    <row r="12" spans="1:7" x14ac:dyDescent="0.25">
      <c r="A12" t="s">
        <v>25</v>
      </c>
      <c r="B12" t="s">
        <v>27</v>
      </c>
      <c r="C12">
        <v>20</v>
      </c>
      <c r="D12">
        <v>3</v>
      </c>
      <c r="E12">
        <f t="shared" si="0"/>
        <v>60</v>
      </c>
    </row>
  </sheetData>
  <hyperlinks>
    <hyperlink ref="G9" r:id="rId1" location="polycard_client=wishlist&amp;wid=MLB3966026211&amp;sid=bookmarks" xr:uid="{154BE19C-F4A7-4E20-86AF-5951EDE15EBE}"/>
    <hyperlink ref="G7" r:id="rId2" location="polycard_client=wishlist&amp;wid=MLB2018146342&amp;sid=bookmarks" xr:uid="{7714BB44-964F-452B-BE06-57BA2BBD25F5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 MAIA CHAGAS</dc:creator>
  <cp:lastModifiedBy>ANDRE MAIA CHAGAS</cp:lastModifiedBy>
  <dcterms:created xsi:type="dcterms:W3CDTF">2015-06-05T18:19:34Z</dcterms:created>
  <dcterms:modified xsi:type="dcterms:W3CDTF">2026-06-22T19:42:47Z</dcterms:modified>
</cp:coreProperties>
</file>